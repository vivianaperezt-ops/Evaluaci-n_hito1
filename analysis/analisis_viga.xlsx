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rez\OneDrive\Escritorio\Viviana\obras civiles\Herramientas computacionales\Evaluacion 1 HC\evaluacion_hito1\analysis\"/>
    </mc:Choice>
  </mc:AlternateContent>
  <bookViews>
    <workbookView xWindow="0" yWindow="0" windowWidth="20490" windowHeight="7635"/>
  </bookViews>
  <sheets>
    <sheet name="Calculo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F13" i="1"/>
  <c r="F14" i="1"/>
  <c r="F15" i="1"/>
  <c r="F16" i="1"/>
  <c r="F17" i="1"/>
  <c r="F18" i="1"/>
  <c r="F11" i="1"/>
  <c r="D11" i="1"/>
  <c r="E11" i="1" s="1"/>
  <c r="D15" i="1"/>
  <c r="E15" i="1" s="1"/>
  <c r="D10" i="1"/>
  <c r="B11" i="1"/>
  <c r="B12" i="1"/>
  <c r="D12" i="1" s="1"/>
  <c r="E12" i="1" s="1"/>
  <c r="B13" i="1"/>
  <c r="D13" i="1" s="1"/>
  <c r="E13" i="1" s="1"/>
  <c r="B14" i="1"/>
  <c r="D14" i="1" s="1"/>
  <c r="E14" i="1" s="1"/>
  <c r="B15" i="1"/>
  <c r="B16" i="1"/>
  <c r="D16" i="1" s="1"/>
  <c r="E16" i="1" s="1"/>
  <c r="B17" i="1"/>
  <c r="D17" i="1" s="1"/>
  <c r="E17" i="1" s="1"/>
  <c r="B18" i="1"/>
  <c r="D18" i="1" s="1"/>
  <c r="E18" i="1" s="1"/>
  <c r="B10" i="1"/>
  <c r="B6" i="1"/>
</calcChain>
</file>

<file path=xl/sharedStrings.xml><?xml version="1.0" encoding="utf-8"?>
<sst xmlns="http://schemas.openxmlformats.org/spreadsheetml/2006/main" count="21" uniqueCount="18">
  <si>
    <t>Parámetro</t>
  </si>
  <si>
    <t>Valor</t>
  </si>
  <si>
    <t>Unidad</t>
  </si>
  <si>
    <t>Luz (L)</t>
  </si>
  <si>
    <t>Ancho (b)</t>
  </si>
  <si>
    <t>Módulo de Elasticidad (E)</t>
  </si>
  <si>
    <t>Inercia (I)</t>
  </si>
  <si>
    <t>Altura (h)</t>
  </si>
  <si>
    <t>m</t>
  </si>
  <si>
    <t>Pa</t>
  </si>
  <si>
    <r>
      <t>m</t>
    </r>
    <r>
      <rPr>
        <sz val="11"/>
        <color theme="1"/>
        <rFont val="Calibri"/>
        <family val="2"/>
      </rPr>
      <t>⁴</t>
    </r>
  </si>
  <si>
    <t>Carga P (kN)</t>
  </si>
  <si>
    <t>Carga P (N)</t>
  </si>
  <si>
    <t>Deflexión Medida (mm)</t>
  </si>
  <si>
    <t>Deflexión Teórica (mm)</t>
  </si>
  <si>
    <t>Diferencia Relativa (%)</t>
  </si>
  <si>
    <t>Verificación delta/P (mm/kN)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</si>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</sst>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5" formatCode="0.0000"/>
    <numFmt numFmtId="176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75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366346</xdr:colOff>
      <xdr:row>18</xdr:row>
      <xdr:rowOff>73269</xdr:rowOff>
    </xdr:from>
    <xdr:to>
      <xdr:col>4</xdr:col>
      <xdr:colOff>122115</xdr:colOff>
      <xdr:row>35</xdr:row>
      <xdr:rowOff>113481</xdr:rowOff>
    </xdr:to>
    <xdr:pic>
      <xdr:nvPicPr>
        <xdr:cNvPr id="3" name="Imagen 2" descr="C:\Users\perez\Downloads\Code_Generated_Image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346" y="3590192"/>
          <a:ext cx="5080000" cy="3361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topLeftCell="A2" zoomScale="65" workbookViewId="0">
      <selection activeCell="F39" sqref="F39"/>
    </sheetView>
  </sheetViews>
  <sheetFormatPr baseColWidth="10" defaultRowHeight="15" x14ac:dyDescent="0.25"/>
  <cols>
    <col min="1" max="1" width="23.5703125" bestFit="1" customWidth="1"/>
    <col min="2" max="2" width="12" bestFit="1" customWidth="1"/>
    <col min="3" max="3" width="22.42578125" bestFit="1" customWidth="1"/>
    <col min="4" max="4" width="22.140625" bestFit="1" customWidth="1"/>
    <col min="5" max="5" width="21.42578125" bestFit="1" customWidth="1"/>
    <col min="6" max="6" width="27.5703125" bestFit="1" customWidth="1"/>
  </cols>
  <sheetData>
    <row r="1" spans="1:7" x14ac:dyDescent="0.25">
      <c r="A1" s="8" t="s">
        <v>0</v>
      </c>
      <c r="B1" s="8" t="s">
        <v>1</v>
      </c>
      <c r="C1" s="8" t="s">
        <v>2</v>
      </c>
      <c r="D1" s="1"/>
      <c r="E1" s="1"/>
      <c r="F1" s="1"/>
      <c r="G1" s="1"/>
    </row>
    <row r="2" spans="1:7" x14ac:dyDescent="0.25">
      <c r="A2" s="2" t="s">
        <v>3</v>
      </c>
      <c r="B2" s="2">
        <v>4</v>
      </c>
      <c r="C2" s="2" t="s">
        <v>8</v>
      </c>
      <c r="D2" s="1"/>
      <c r="E2" s="1"/>
      <c r="F2" s="1"/>
      <c r="G2" s="1"/>
    </row>
    <row r="3" spans="1:7" x14ac:dyDescent="0.25">
      <c r="A3" s="2" t="s">
        <v>4</v>
      </c>
      <c r="B3" s="2">
        <v>0.2</v>
      </c>
      <c r="C3" s="2" t="s">
        <v>8</v>
      </c>
      <c r="D3" s="1"/>
      <c r="E3" s="1"/>
      <c r="F3" s="1"/>
      <c r="G3" s="1"/>
    </row>
    <row r="4" spans="1:7" x14ac:dyDescent="0.25">
      <c r="A4" s="2" t="s">
        <v>7</v>
      </c>
      <c r="B4" s="2">
        <v>0.4</v>
      </c>
      <c r="C4" s="2" t="s">
        <v>8</v>
      </c>
      <c r="D4" s="1"/>
      <c r="E4" s="1"/>
      <c r="F4" s="1"/>
      <c r="G4" s="1"/>
    </row>
    <row r="5" spans="1:7" x14ac:dyDescent="0.25">
      <c r="A5" s="2" t="s">
        <v>5</v>
      </c>
      <c r="B5" s="2">
        <v>25000000000</v>
      </c>
      <c r="C5" s="2" t="s">
        <v>9</v>
      </c>
      <c r="D5" s="1"/>
      <c r="E5" s="1"/>
      <c r="F5" s="1"/>
      <c r="G5" s="1"/>
    </row>
    <row r="6" spans="1:7" x14ac:dyDescent="0.25">
      <c r="A6" s="2" t="s">
        <v>6</v>
      </c>
      <c r="B6" s="2">
        <f>(B3*(B4^3))/12</f>
        <v>1.0666666666666669E-3</v>
      </c>
      <c r="C6" s="2" t="s">
        <v>10</v>
      </c>
      <c r="D6" s="1"/>
      <c r="E6" s="1"/>
      <c r="F6" s="1"/>
      <c r="G6" s="1"/>
    </row>
    <row r="7" spans="1:7" x14ac:dyDescent="0.25">
      <c r="A7" s="1"/>
      <c r="B7" s="1"/>
      <c r="C7" s="1"/>
      <c r="D7" s="1"/>
      <c r="E7" s="1"/>
      <c r="F7" s="1"/>
      <c r="G7" s="1"/>
    </row>
    <row r="8" spans="1:7" x14ac:dyDescent="0.25">
      <c r="A8" s="7"/>
      <c r="B8" s="7"/>
      <c r="C8" s="7"/>
      <c r="D8" s="7"/>
      <c r="E8" s="7"/>
      <c r="F8" s="7"/>
      <c r="G8" s="1"/>
    </row>
    <row r="9" spans="1:7" x14ac:dyDescent="0.25">
      <c r="A9" s="8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1"/>
    </row>
    <row r="10" spans="1:7" x14ac:dyDescent="0.25">
      <c r="A10" s="6">
        <v>0</v>
      </c>
      <c r="B10" s="6">
        <f>A10*1000</f>
        <v>0</v>
      </c>
      <c r="C10" s="5">
        <v>0</v>
      </c>
      <c r="D10" s="5">
        <f>((B10*($B$2^3))/(48*$B$5*$B$6))*1000</f>
        <v>0</v>
      </c>
      <c r="E10" s="3" t="s">
        <v>17</v>
      </c>
      <c r="F10" s="3" t="s">
        <v>17</v>
      </c>
      <c r="G10" s="1"/>
    </row>
    <row r="11" spans="1:7" x14ac:dyDescent="0.25">
      <c r="A11" s="6">
        <v>5</v>
      </c>
      <c r="B11" s="6">
        <f t="shared" ref="B11:B18" si="0">A11*1000</f>
        <v>5000</v>
      </c>
      <c r="C11" s="5">
        <v>0.26</v>
      </c>
      <c r="D11" s="5">
        <f t="shared" ref="D11:D18" si="1">((B11*($B$2^3))/(48*$B$5*$B$6))*1000</f>
        <v>0.24999999999999994</v>
      </c>
      <c r="E11" s="4">
        <f>(ABS(C11-D11)/D11)*100</f>
        <v>4.0000000000000266</v>
      </c>
      <c r="F11" s="3">
        <f>C11/A11</f>
        <v>5.2000000000000005E-2</v>
      </c>
      <c r="G11" s="1"/>
    </row>
    <row r="12" spans="1:7" x14ac:dyDescent="0.25">
      <c r="A12" s="6">
        <v>10</v>
      </c>
      <c r="B12" s="6">
        <f t="shared" si="0"/>
        <v>10000</v>
      </c>
      <c r="C12" s="5">
        <v>0.5</v>
      </c>
      <c r="D12" s="5">
        <f t="shared" si="1"/>
        <v>0.49999999999999989</v>
      </c>
      <c r="E12" s="4">
        <f t="shared" ref="E12:E18" si="2">(ABS(C12-D12)/D12)*100</f>
        <v>2.2204460492503137E-14</v>
      </c>
      <c r="F12" s="3">
        <f t="shared" ref="F12:F18" si="3">C12/A12</f>
        <v>0.05</v>
      </c>
      <c r="G12" s="1"/>
    </row>
    <row r="13" spans="1:7" x14ac:dyDescent="0.25">
      <c r="A13" s="6">
        <v>15</v>
      </c>
      <c r="B13" s="6">
        <f t="shared" si="0"/>
        <v>15000</v>
      </c>
      <c r="C13" s="5">
        <v>0.76</v>
      </c>
      <c r="D13" s="5">
        <f t="shared" si="1"/>
        <v>0.74999999999999989</v>
      </c>
      <c r="E13" s="4">
        <f t="shared" si="2"/>
        <v>1.3333333333333495</v>
      </c>
      <c r="F13" s="3">
        <f t="shared" si="3"/>
        <v>5.0666666666666665E-2</v>
      </c>
      <c r="G13" s="1"/>
    </row>
    <row r="14" spans="1:7" x14ac:dyDescent="0.25">
      <c r="A14" s="6">
        <v>20</v>
      </c>
      <c r="B14" s="6">
        <f t="shared" si="0"/>
        <v>20000</v>
      </c>
      <c r="C14" s="5">
        <v>1.01</v>
      </c>
      <c r="D14" s="5">
        <f t="shared" si="1"/>
        <v>0.99999999999999978</v>
      </c>
      <c r="E14" s="4">
        <f t="shared" si="2"/>
        <v>1.0000000000000233</v>
      </c>
      <c r="F14" s="3">
        <f t="shared" si="3"/>
        <v>5.0500000000000003E-2</v>
      </c>
      <c r="G14" s="1"/>
    </row>
    <row r="15" spans="1:7" x14ac:dyDescent="0.25">
      <c r="A15" s="6">
        <v>25</v>
      </c>
      <c r="B15" s="6">
        <f t="shared" si="0"/>
        <v>25000</v>
      </c>
      <c r="C15" s="5">
        <v>1.28</v>
      </c>
      <c r="D15" s="5">
        <f t="shared" si="1"/>
        <v>1.2499999999999998</v>
      </c>
      <c r="E15" s="4">
        <f t="shared" si="2"/>
        <v>2.4000000000000203</v>
      </c>
      <c r="F15" s="3">
        <f t="shared" si="3"/>
        <v>5.1200000000000002E-2</v>
      </c>
      <c r="G15" s="1"/>
    </row>
    <row r="16" spans="1:7" x14ac:dyDescent="0.25">
      <c r="A16" s="6">
        <v>30</v>
      </c>
      <c r="B16" s="6">
        <f t="shared" si="0"/>
        <v>30000</v>
      </c>
      <c r="C16" s="5">
        <v>1.54</v>
      </c>
      <c r="D16" s="5">
        <f t="shared" si="1"/>
        <v>1.4999999999999998</v>
      </c>
      <c r="E16" s="4">
        <f t="shared" si="2"/>
        <v>2.6666666666666843</v>
      </c>
      <c r="F16" s="3">
        <f t="shared" si="3"/>
        <v>5.1333333333333335E-2</v>
      </c>
      <c r="G16" s="1"/>
    </row>
    <row r="17" spans="1:7" x14ac:dyDescent="0.25">
      <c r="A17" s="6">
        <v>35</v>
      </c>
      <c r="B17" s="6">
        <f t="shared" si="0"/>
        <v>35000</v>
      </c>
      <c r="C17" s="5">
        <v>1.77</v>
      </c>
      <c r="D17" s="5">
        <f t="shared" si="1"/>
        <v>1.7499999999999996</v>
      </c>
      <c r="E17" s="4">
        <f t="shared" si="2"/>
        <v>1.1428571428571697</v>
      </c>
      <c r="F17" s="3">
        <f t="shared" si="3"/>
        <v>5.0571428571428573E-2</v>
      </c>
      <c r="G17" s="1"/>
    </row>
    <row r="18" spans="1:7" x14ac:dyDescent="0.25">
      <c r="A18" s="6">
        <v>40</v>
      </c>
      <c r="B18" s="6">
        <f t="shared" si="0"/>
        <v>40000</v>
      </c>
      <c r="C18" s="5">
        <v>2.0499999999999998</v>
      </c>
      <c r="D18" s="5">
        <f t="shared" si="1"/>
        <v>1.9999999999999996</v>
      </c>
      <c r="E18" s="4">
        <f t="shared" si="2"/>
        <v>2.5000000000000142</v>
      </c>
      <c r="F18" s="3">
        <f t="shared" si="3"/>
        <v>5.1249999999999997E-2</v>
      </c>
      <c r="G1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Calculos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</dc:creator>
  <cp:lastModifiedBy>perez</cp:lastModifiedBy>
  <dcterms:created xsi:type="dcterms:W3CDTF">2026-10-03T21:28:12Z</dcterms:created>
  <dcterms:modified xsi:type="dcterms:W3CDTF">2026-10-03T22:45:11Z</dcterms:modified>
</cp:coreProperties>
</file>